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<sst xmlns="http://schemas.openxmlformats.org/spreadsheetml/2006/main" count="54" uniqueCount="28">
  <si>
    <t>El gato come ratones y juega con el perro. El perro duerme al lado y come.</t>
  </si>
  <si>
    <t>El gato come pescado</t>
  </si>
  <si>
    <t>El perro ladra fuerte y come.</t>
  </si>
  <si>
    <t>El código tiene un error</t>
  </si>
  <si>
    <t>El programa ejecuta código</t>
  </si>
  <si>
    <t>Doc</t>
  </si>
  <si>
    <t>gato</t>
  </si>
  <si>
    <t>come</t>
  </si>
  <si>
    <t>ratones</t>
  </si>
  <si>
    <t>juega</t>
  </si>
  <si>
    <t>perro</t>
  </si>
  <si>
    <t>duerme</t>
  </si>
  <si>
    <t>lado</t>
  </si>
  <si>
    <t>pescado</t>
  </si>
  <si>
    <t>ladra</t>
  </si>
  <si>
    <t>fuerte</t>
  </si>
  <si>
    <t>código</t>
  </si>
  <si>
    <t>error</t>
  </si>
  <si>
    <t>programa</t>
  </si>
  <si>
    <t>ejecuta</t>
  </si>
  <si>
    <t>Documentos que 
contienen t:</t>
  </si>
  <si>
    <t>2</t>
  </si>
  <si>
    <t>3</t>
  </si>
  <si>
    <t>1</t>
  </si>
  <si>
    <t>POWER(x_2 - x_1, 2)</t>
  </si>
  <si>
    <t>Produto punto</t>
  </si>
  <si>
    <t>Distancia Euclidiana entre docs 3 y 4</t>
  </si>
  <si>
    <t>Distancia Angular entre docs 3 y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</si>
</sst>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Hoja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8:O14" displayName="Matriz_BOW" name="Matriz_BOW" id="1">
  <tableColumns count="15">
    <tableColumn totalsRowLabel="Documentos que &#10;contienen t:" name="Doc" id="1"/>
    <tableColumn totalsRowLabel="2" name="gato" id="2"/>
    <tableColumn totalsRowLabel="3" name="come" id="3"/>
    <tableColumn totalsRowLabel="1" name="ratones" id="4"/>
    <tableColumn totalsRowLabel="1" name="juega" id="5"/>
    <tableColumn totalsRowLabel="2" name="perro" id="6"/>
    <tableColumn totalsRowLabel="1" name="duerme" id="7"/>
    <tableColumn totalsRowLabel="1" name="lado" id="8"/>
    <tableColumn totalsRowLabel="1" name="pescado" id="9"/>
    <tableColumn totalsRowLabel="1" name="ladra" id="10"/>
    <tableColumn totalsRowLabel="1" name="fuerte" id="11"/>
    <tableColumn totalsRowLabel="2" name="código" id="12"/>
    <tableColumn totalsRowLabel="1" name="error" id="13"/>
    <tableColumn totalsRowLabel="1" name="programa" id="14"/>
    <tableColumn totalsRowLabel="1" name="ejecuta" id="1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21:O27" displayName="Matriz_TFIDF" name="Matriz_TFIDF" id="2">
  <tableColumns count="15">
    <tableColumn name="Doc" id="1"/>
    <tableColumn name="gato" id="2"/>
    <tableColumn name="come" id="3"/>
    <tableColumn name="ratones" id="4"/>
    <tableColumn name="juega" id="5"/>
    <tableColumn name="perro" id="6"/>
    <tableColumn name="duerme" id="7"/>
    <tableColumn name="lado" id="8"/>
    <tableColumn name="pescado" id="9"/>
    <tableColumn name="ladra" id="10"/>
    <tableColumn name="fuerte" id="11"/>
    <tableColumn name="código" id="12"/>
    <tableColumn name="error" id="13"/>
    <tableColumn name="programa" id="14"/>
    <tableColumn name="ejecuta" id="15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8" ht="22.5" customHeight="1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</row>
    <row r="9" ht="22.5" customHeight="1">
      <c r="A9" s="3">
        <v>1.0</v>
      </c>
      <c r="B9" s="3">
        <v>1.0</v>
      </c>
      <c r="C9" s="3">
        <v>2.0</v>
      </c>
      <c r="D9" s="3">
        <v>1.0</v>
      </c>
      <c r="E9" s="3">
        <v>1.0</v>
      </c>
      <c r="F9" s="3">
        <v>2.0</v>
      </c>
      <c r="G9" s="3">
        <v>1.0</v>
      </c>
      <c r="H9" s="3">
        <v>1.0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</row>
    <row r="10" ht="22.5" customHeight="1">
      <c r="A10" s="3">
        <v>2.0</v>
      </c>
      <c r="B10" s="3">
        <v>1.0</v>
      </c>
      <c r="C10" s="3">
        <v>1.0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1.0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</row>
    <row r="11" ht="22.5" customHeight="1">
      <c r="A11" s="3">
        <v>3.0</v>
      </c>
      <c r="B11" s="3">
        <v>0.0</v>
      </c>
      <c r="C11" s="3">
        <v>1.0</v>
      </c>
      <c r="D11" s="3">
        <v>0.0</v>
      </c>
      <c r="E11" s="3">
        <v>0.0</v>
      </c>
      <c r="F11" s="3">
        <v>1.0</v>
      </c>
      <c r="G11" s="3">
        <v>0.0</v>
      </c>
      <c r="H11" s="3">
        <v>0.0</v>
      </c>
      <c r="I11" s="3">
        <v>0.0</v>
      </c>
      <c r="J11" s="3">
        <v>1.0</v>
      </c>
      <c r="K11" s="3">
        <v>1.0</v>
      </c>
      <c r="L11" s="3">
        <v>0.0</v>
      </c>
      <c r="M11" s="3">
        <v>0.0</v>
      </c>
      <c r="N11" s="3">
        <v>0.0</v>
      </c>
      <c r="O11" s="3">
        <v>0.0</v>
      </c>
    </row>
    <row r="12" ht="22.5" customHeight="1">
      <c r="A12" s="3">
        <v>4.0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1.0</v>
      </c>
      <c r="M12" s="3">
        <v>0.0</v>
      </c>
      <c r="N12" s="3">
        <v>0.0</v>
      </c>
      <c r="O12" s="3">
        <v>0.0</v>
      </c>
    </row>
    <row r="13" ht="22.5" customHeight="1">
      <c r="A13" s="3">
        <v>5.0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1.0</v>
      </c>
      <c r="M13" s="3">
        <v>1.0</v>
      </c>
      <c r="N13" s="3">
        <v>1.0</v>
      </c>
      <c r="O13" s="3">
        <v>1.0</v>
      </c>
    </row>
    <row r="14" ht="22.5" customHeight="1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23</v>
      </c>
      <c r="F14" s="4" t="s">
        <v>21</v>
      </c>
      <c r="G14" s="4" t="s">
        <v>23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21</v>
      </c>
      <c r="M14" s="4" t="s">
        <v>23</v>
      </c>
      <c r="N14" s="4" t="s">
        <v>23</v>
      </c>
      <c r="O14" s="4" t="s">
        <v>23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1" t="s">
        <v>24</v>
      </c>
      <c r="B16" s="5">
        <f t="shared" ref="B16:O16" si="1">POWER(B12-B11, 2)</f>
        <v>0</v>
      </c>
      <c r="C16" s="5">
        <f t="shared" si="1"/>
        <v>1</v>
      </c>
      <c r="D16" s="5">
        <f t="shared" si="1"/>
        <v>0</v>
      </c>
      <c r="E16" s="5">
        <f t="shared" si="1"/>
        <v>0</v>
      </c>
      <c r="F16" s="5">
        <f t="shared" si="1"/>
        <v>1</v>
      </c>
      <c r="G16" s="5">
        <f t="shared" si="1"/>
        <v>0</v>
      </c>
      <c r="H16" s="5">
        <f t="shared" si="1"/>
        <v>0</v>
      </c>
      <c r="I16" s="5">
        <f t="shared" si="1"/>
        <v>0</v>
      </c>
      <c r="J16" s="5">
        <f t="shared" si="1"/>
        <v>1</v>
      </c>
      <c r="K16" s="5">
        <f t="shared" si="1"/>
        <v>1</v>
      </c>
      <c r="L16" s="5">
        <f t="shared" si="1"/>
        <v>1</v>
      </c>
      <c r="M16" s="5">
        <f t="shared" si="1"/>
        <v>0</v>
      </c>
      <c r="N16" s="5">
        <f t="shared" si="1"/>
        <v>0</v>
      </c>
      <c r="O16" s="5">
        <f t="shared" si="1"/>
        <v>0</v>
      </c>
    </row>
    <row r="17">
      <c r="A17" s="1" t="s">
        <v>25</v>
      </c>
      <c r="B17" s="1">
        <f t="shared" ref="B17:O17" si="2">B12*B11</f>
        <v>0</v>
      </c>
      <c r="C17" s="1">
        <f t="shared" si="2"/>
        <v>0</v>
      </c>
      <c r="D17" s="1">
        <f t="shared" si="2"/>
        <v>0</v>
      </c>
      <c r="E17" s="1">
        <f t="shared" si="2"/>
        <v>0</v>
      </c>
      <c r="F17" s="1">
        <f t="shared" si="2"/>
        <v>0</v>
      </c>
      <c r="G17" s="1">
        <f t="shared" si="2"/>
        <v>0</v>
      </c>
      <c r="H17" s="1">
        <f t="shared" si="2"/>
        <v>0</v>
      </c>
      <c r="I17" s="1">
        <f t="shared" si="2"/>
        <v>0</v>
      </c>
      <c r="J17" s="1">
        <f t="shared" si="2"/>
        <v>0</v>
      </c>
      <c r="K17" s="1">
        <f t="shared" si="2"/>
        <v>0</v>
      </c>
      <c r="L17" s="1">
        <f t="shared" si="2"/>
        <v>0</v>
      </c>
      <c r="M17" s="1">
        <f t="shared" si="2"/>
        <v>0</v>
      </c>
      <c r="N17" s="1">
        <f t="shared" si="2"/>
        <v>0</v>
      </c>
      <c r="O17" s="1">
        <f t="shared" si="2"/>
        <v>0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22.5" customHeight="1">
      <c r="A21" s="2" t="s">
        <v>5</v>
      </c>
      <c r="B21" s="2" t="s">
        <v>6</v>
      </c>
      <c r="C21" s="2" t="s">
        <v>7</v>
      </c>
      <c r="D21" s="2" t="s">
        <v>8</v>
      </c>
      <c r="E21" s="2" t="s">
        <v>9</v>
      </c>
      <c r="F21" s="2" t="s">
        <v>10</v>
      </c>
      <c r="G21" s="2" t="s">
        <v>11</v>
      </c>
      <c r="H21" s="2" t="s">
        <v>12</v>
      </c>
      <c r="I21" s="2" t="s">
        <v>13</v>
      </c>
      <c r="J21" s="2" t="s">
        <v>14</v>
      </c>
      <c r="K21" s="2" t="s">
        <v>15</v>
      </c>
      <c r="L21" s="2" t="s">
        <v>16</v>
      </c>
      <c r="M21" s="2" t="s">
        <v>17</v>
      </c>
      <c r="N21" s="2" t="s">
        <v>18</v>
      </c>
      <c r="O21" s="2" t="s">
        <v>19</v>
      </c>
    </row>
    <row r="22" ht="22.5" customHeight="1">
      <c r="A22" s="3">
        <v>1.0</v>
      </c>
      <c r="B22" s="6">
        <f> (B9/16)*LOG(5/Matriz_BOW[[#TOTALS],[gato]])</f>
        <v>0.02487125054</v>
      </c>
      <c r="C22" s="6">
        <f> (C9/16)*LOG(5/Matriz_BOW[[#TOTALS],[come]])</f>
        <v>0.0277310937</v>
      </c>
      <c r="D22" s="6">
        <f> (D9/16)*LOG(5/Matriz_BOW[[#TOTALS],[ratones]])</f>
        <v>0.04368562527</v>
      </c>
      <c r="E22" s="6">
        <f> (E9/16)*LOG(5/Matriz_BOW[[#TOTALS],[juega]])</f>
        <v>0.04368562527</v>
      </c>
      <c r="F22" s="6">
        <f t="shared" ref="F22:O22" si="3"> (F9/16)*LOG(5/F14)</f>
        <v>0.04974250108</v>
      </c>
      <c r="G22" s="6">
        <f t="shared" si="3"/>
        <v>0.04368562527</v>
      </c>
      <c r="H22" s="6">
        <f t="shared" si="3"/>
        <v>0.04368562527</v>
      </c>
      <c r="I22" s="6">
        <f t="shared" si="3"/>
        <v>0</v>
      </c>
      <c r="J22" s="6">
        <f t="shared" si="3"/>
        <v>0</v>
      </c>
      <c r="K22" s="6">
        <f t="shared" si="3"/>
        <v>0</v>
      </c>
      <c r="L22" s="6">
        <f t="shared" si="3"/>
        <v>0</v>
      </c>
      <c r="M22" s="6">
        <f t="shared" si="3"/>
        <v>0</v>
      </c>
      <c r="N22" s="6">
        <f t="shared" si="3"/>
        <v>0</v>
      </c>
      <c r="O22" s="6">
        <f t="shared" si="3"/>
        <v>0</v>
      </c>
    </row>
    <row r="23" ht="22.5" customHeight="1">
      <c r="A23" s="3">
        <v>2.0</v>
      </c>
      <c r="B23" s="6">
        <f t="shared" ref="B23:O23" si="4"> (B10/4)*LOG(5/B14)</f>
        <v>0.09948500217</v>
      </c>
      <c r="C23" s="6">
        <f t="shared" si="4"/>
        <v>0.0554621874</v>
      </c>
      <c r="D23" s="6">
        <f t="shared" si="4"/>
        <v>0</v>
      </c>
      <c r="E23" s="6">
        <f t="shared" si="4"/>
        <v>0</v>
      </c>
      <c r="F23" s="6">
        <f t="shared" si="4"/>
        <v>0</v>
      </c>
      <c r="G23" s="6">
        <f t="shared" si="4"/>
        <v>0</v>
      </c>
      <c r="H23" s="6">
        <f t="shared" si="4"/>
        <v>0</v>
      </c>
      <c r="I23" s="6">
        <f t="shared" si="4"/>
        <v>0.1747425011</v>
      </c>
      <c r="J23" s="6">
        <f t="shared" si="4"/>
        <v>0</v>
      </c>
      <c r="K23" s="6">
        <f t="shared" si="4"/>
        <v>0</v>
      </c>
      <c r="L23" s="6">
        <f t="shared" si="4"/>
        <v>0</v>
      </c>
      <c r="M23" s="6">
        <f t="shared" si="4"/>
        <v>0</v>
      </c>
      <c r="N23" s="6">
        <f t="shared" si="4"/>
        <v>0</v>
      </c>
      <c r="O23" s="6">
        <f t="shared" si="4"/>
        <v>0</v>
      </c>
    </row>
    <row r="24" ht="22.5" customHeight="1">
      <c r="A24" s="3">
        <v>3.0</v>
      </c>
      <c r="B24" s="6">
        <f t="shared" ref="B24:O24" si="5"> (B11/6)*LOG(5/B14)</f>
        <v>0</v>
      </c>
      <c r="C24" s="6">
        <f t="shared" si="5"/>
        <v>0.0369747916</v>
      </c>
      <c r="D24" s="6">
        <f t="shared" si="5"/>
        <v>0</v>
      </c>
      <c r="E24" s="6">
        <f t="shared" si="5"/>
        <v>0</v>
      </c>
      <c r="F24" s="6">
        <f t="shared" si="5"/>
        <v>0.06632333478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0.1164950007</v>
      </c>
      <c r="K24" s="6">
        <f t="shared" si="5"/>
        <v>0.1164950007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</row>
    <row r="25" ht="22.5" customHeight="1">
      <c r="A25" s="3">
        <v>4.0</v>
      </c>
      <c r="B25" s="6">
        <f t="shared" ref="B25:O25" si="6"> (B12/5)*LOG(5/B14)</f>
        <v>0</v>
      </c>
      <c r="C25" s="6">
        <f t="shared" si="6"/>
        <v>0</v>
      </c>
      <c r="D25" s="6">
        <f t="shared" si="6"/>
        <v>0</v>
      </c>
      <c r="E25" s="6">
        <f t="shared" si="6"/>
        <v>0</v>
      </c>
      <c r="F25" s="6">
        <f t="shared" si="6"/>
        <v>0</v>
      </c>
      <c r="G25" s="6">
        <f t="shared" si="6"/>
        <v>0</v>
      </c>
      <c r="H25" s="6">
        <f t="shared" si="6"/>
        <v>0</v>
      </c>
      <c r="I25" s="6">
        <f t="shared" si="6"/>
        <v>0</v>
      </c>
      <c r="J25" s="6">
        <f t="shared" si="6"/>
        <v>0</v>
      </c>
      <c r="K25" s="6">
        <f t="shared" si="6"/>
        <v>0</v>
      </c>
      <c r="L25" s="6">
        <f t="shared" si="6"/>
        <v>0.07958800173</v>
      </c>
      <c r="M25" s="6">
        <f t="shared" si="6"/>
        <v>0</v>
      </c>
      <c r="N25" s="6">
        <f t="shared" si="6"/>
        <v>0</v>
      </c>
      <c r="O25" s="6">
        <f t="shared" si="6"/>
        <v>0</v>
      </c>
    </row>
    <row r="26" ht="22.5" customHeight="1">
      <c r="A26" s="3">
        <v>5.0</v>
      </c>
      <c r="B26" s="6">
        <f t="shared" ref="B26:O26" si="7"> (B13/4)*LOG(5/B14)</f>
        <v>0</v>
      </c>
      <c r="C26" s="6">
        <f t="shared" si="7"/>
        <v>0</v>
      </c>
      <c r="D26" s="6">
        <f t="shared" si="7"/>
        <v>0</v>
      </c>
      <c r="E26" s="6">
        <f t="shared" si="7"/>
        <v>0</v>
      </c>
      <c r="F26" s="6">
        <f t="shared" si="7"/>
        <v>0</v>
      </c>
      <c r="G26" s="6">
        <f t="shared" si="7"/>
        <v>0</v>
      </c>
      <c r="H26" s="6">
        <f t="shared" si="7"/>
        <v>0</v>
      </c>
      <c r="I26" s="6">
        <f t="shared" si="7"/>
        <v>0</v>
      </c>
      <c r="J26" s="6">
        <f t="shared" si="7"/>
        <v>0</v>
      </c>
      <c r="K26" s="6">
        <f t="shared" si="7"/>
        <v>0</v>
      </c>
      <c r="L26" s="6">
        <f t="shared" si="7"/>
        <v>0.09948500217</v>
      </c>
      <c r="M26" s="6">
        <f t="shared" si="7"/>
        <v>0.1747425011</v>
      </c>
      <c r="N26" s="6">
        <f t="shared" si="7"/>
        <v>0.1747425011</v>
      </c>
      <c r="O26" s="6">
        <f t="shared" si="7"/>
        <v>0.1747425011</v>
      </c>
    </row>
    <row r="27" ht="22.5" customHeight="1"/>
    <row r="29">
      <c r="A29" s="1" t="s">
        <v>26</v>
      </c>
      <c r="B29" s="5">
        <f>SQRT(SUM(B16:O16))</f>
        <v>2.236067977</v>
      </c>
    </row>
    <row r="30">
      <c r="A30" s="1" t="s">
        <v>27</v>
      </c>
      <c r="B30" s="5">
        <f>SUM(B17:O17)/(SUMSQ(B11:O11) + SUMSQ(B12:O12))</f>
        <v>0</v>
      </c>
    </row>
  </sheetData>
  <drawing r:id="rId1"/>
  <tableParts count="2">
    <tablePart r:id="rId4"/>
    <tablePart r:id="rId5"/>
  </tableParts>
</worksheet>
</file>